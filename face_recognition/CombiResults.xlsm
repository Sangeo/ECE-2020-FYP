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rry\source\repos\face_recognition\face_recognition\"/>
    </mc:Choice>
  </mc:AlternateContent>
  <xr:revisionPtr revIDLastSave="0" documentId="13_ncr:1_{596D0EA7-D9F7-494E-B36D-7369204BB90F}" xr6:coauthVersionLast="45" xr6:coauthVersionMax="45" xr10:uidLastSave="{00000000-0000-0000-0000-000000000000}"/>
  <bookViews>
    <workbookView xWindow="-98" yWindow="-98" windowWidth="19396" windowHeight="11596" activeTab="1" xr2:uid="{56E67786-B362-4C3F-8DE8-AFDBF1E8034F}"/>
  </bookViews>
  <sheets>
    <sheet name="Sheet2" sheetId="2" r:id="rId1"/>
    <sheet name="Sheet1" sheetId="1" r:id="rId2"/>
  </sheets>
  <definedNames>
    <definedName name="ExternalData_1" localSheetId="0" hidden="1">Sheet2!$A$1:$D$3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1" i="1" l="1"/>
  <c r="G8" i="1"/>
  <c r="G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D74FD6-1BB8-4DF5-B577-8C1C70EF8C4C}" keepAlive="1" name="Query - CombiResults" description="Connection to the 'CombiResults' query in the workbook." type="5" refreshedVersion="6" background="1" saveData="1">
    <dbPr connection="Provider=Microsoft.Mashup.OleDb.1;Data Source=$Workbook$;Location=CombiResults;Extended Properties=&quot;&quot;" command="SELECT * FROM [CombiResults]"/>
  </connection>
</connections>
</file>

<file path=xl/sharedStrings.xml><?xml version="1.0" encoding="utf-8"?>
<sst xmlns="http://schemas.openxmlformats.org/spreadsheetml/2006/main" count="159" uniqueCount="51">
  <si>
    <t>trial number</t>
  </si>
  <si>
    <t>rPPG_HREst</t>
  </si>
  <si>
    <t>rBCG_HREst</t>
  </si>
  <si>
    <t>Column1</t>
  </si>
  <si>
    <t>rPPG</t>
  </si>
  <si>
    <t>rBCG</t>
  </si>
  <si>
    <t>Measured HR (Pulse Oximeter)</t>
  </si>
  <si>
    <t>"Best-Light" Conditions</t>
  </si>
  <si>
    <t>Trial Number</t>
  </si>
  <si>
    <t>Mum</t>
  </si>
  <si>
    <t>Dad</t>
  </si>
  <si>
    <t>Recovery from exercise</t>
  </si>
  <si>
    <t>30 second period</t>
  </si>
  <si>
    <t>No Motion, 0 Degrees Yaw</t>
  </si>
  <si>
    <t>65CM</t>
  </si>
  <si>
    <t>Office Light</t>
  </si>
  <si>
    <t>No Motion (no yaw pitch or roll)</t>
  </si>
  <si>
    <t>30 cm</t>
  </si>
  <si>
    <t>No Motion, -45 Degrees Yaw</t>
  </si>
  <si>
    <t>No Motion, +45 Degrees Yaw</t>
  </si>
  <si>
    <t>No Motion, -45 Degrees Pitch</t>
  </si>
  <si>
    <t>No Motion, +45 Degrees Pitch</t>
  </si>
  <si>
    <t>Controlled Lighting Condition</t>
  </si>
  <si>
    <t>FAILED</t>
  </si>
  <si>
    <t>Reason that this method does not work is because HOG or Haar-cascade cannot detect face with a diagonal orientation (or pitch). This is a limitation which cannot be overcome due to the way it works, scanning for distinct black-white-black sections etc… Future works can look into the use of using more advanced ML models such as Dlib etc..</t>
  </si>
  <si>
    <t>White coloured lighting</t>
  </si>
  <si>
    <t>Colour Change</t>
  </si>
  <si>
    <t>Lighting Colour = Yellow</t>
  </si>
  <si>
    <t>Colour Change has no effect on rPPG</t>
  </si>
  <si>
    <t>Illumination Test</t>
  </si>
  <si>
    <t>Blinking and voluntary motion allowed</t>
  </si>
  <si>
    <t>65cm</t>
  </si>
  <si>
    <t>30cm</t>
  </si>
  <si>
    <t>Lighting Level Low (Dim Lighting)</t>
  </si>
  <si>
    <t>No Motion Involved</t>
  </si>
  <si>
    <t>Lighting Level Underexposure</t>
  </si>
  <si>
    <t>Signal is very noisy (average shows)</t>
  </si>
  <si>
    <t>Lighting Level Overexposure</t>
  </si>
  <si>
    <t>Distance Test</t>
  </si>
  <si>
    <t>Best Lighting</t>
  </si>
  <si>
    <t>100cm</t>
  </si>
  <si>
    <t>SEE TOP LEFT HAND CORNER</t>
  </si>
  <si>
    <t xml:space="preserve">Motion Cases </t>
  </si>
  <si>
    <t>Talking and Voluntary Expression</t>
  </si>
  <si>
    <t>Moderate level of talking/expression</t>
  </si>
  <si>
    <t>Video Available</t>
  </si>
  <si>
    <t>Large Motion Cases</t>
  </si>
  <si>
    <t>Unable to cope</t>
  </si>
  <si>
    <t>Reason, our skin mask and skin detection are very basic, these are only implemented with simple to understand modules due to time constraint and my limited proficiency in C++. Future works could take skin values from foreground detection using kmeans etc.. Infact there has been a study on this already discussing the relevant issues regarding common skin extraction issues, and a novel algorithm used to do the detection instead</t>
  </si>
  <si>
    <t>Exploiting Spatial Redundancy of Image Sensor for Motion Robust rPPG</t>
  </si>
  <si>
    <t>Resolution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</si>
</sst>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ont="1" applyFill="1" applyBorder="1"/>
    <xf numFmtId="0" fontId="0" fillId="2" borderId="2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0" xfId="0" applyAlignment="1">
      <alignment wrapText="1"/>
    </xf>
    <xf numFmtId="0" fontId="0" fillId="2" borderId="3" xfId="0" applyFont="1" applyFill="1" applyBorder="1"/>
    <xf numFmtId="0" fontId="0" fillId="0" borderId="3" xfId="0" applyFont="1" applyBorder="1"/>
    <xf numFmtId="0" fontId="0" fillId="2" borderId="0" xfId="0" applyFont="1" applyFill="1" applyBorder="1"/>
    <xf numFmtId="0" fontId="2" fillId="0" borderId="0" xfId="0" applyFont="1"/>
    <xf numFmtId="0" fontId="0" fillId="3" borderId="0" xfId="0" applyFill="1" applyAlignment="1">
      <alignment wrapText="1"/>
    </xf>
    <xf numFmtId="0" fontId="0" fillId="3" borderId="0" xfId="0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0" fillId="0" borderId="0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503485A-AA68-471C-BEBC-C433AB35FA14}" autoFormatId="16" applyNumberFormats="0" applyBorderFormats="0" applyFontFormats="0" applyPatternFormats="0" applyAlignmentFormats="0" applyWidthHeightFormats="0">
  <queryTableRefresh nextId="5">
    <queryTableFields count="4">
      <queryTableField id="1" name="trial number" tableColumnId="1"/>
      <queryTableField id="2" name="rPPG_HREst" tableColumnId="2"/>
      <queryTableField id="3" name="rBCG_HREst" tableColumnId="3"/>
      <queryTableField id="4" name="Column1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67D385-07D6-4AB8-B76D-E6836B538A38}" name="CombiResults" displayName="CombiResults" ref="A1:D3" tableType="queryTable" totalsRowShown="0">
  <autoFilter ref="A1:D3" xr:uid="{7492E7DB-4EE4-4017-A29B-C68A507EFB88}"/>
  <tableColumns count="4">
    <tableColumn id="1" xr3:uid="{28D792CA-8495-4B0A-A8C8-F7B2398BA41B}" uniqueName="1" name="trial number" queryTableFieldId="1"/>
    <tableColumn id="2" xr3:uid="{24401D80-4138-4B14-B2D1-91D760CAB490}" uniqueName="2" name="rPPG_HREst" queryTableFieldId="2"/>
    <tableColumn id="3" xr3:uid="{C6101C37-1C18-4E38-801E-C36FACCD8232}" uniqueName="3" name="rBCG_HREst" queryTableFieldId="3"/>
    <tableColumn id="4" xr3:uid="{4D8B5F67-E6D2-4322-B20D-B13CD83AD0CF}" uniqueName="4" name="Column1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5C4DB-4E30-4740-92CD-27955053B58F}">
  <dimension ref="A1:D3"/>
  <sheetViews>
    <sheetView workbookViewId="0">
      <selection activeCell="C9" sqref="C9"/>
    </sheetView>
  </sheetViews>
  <sheetFormatPr defaultRowHeight="14.25" x14ac:dyDescent="0.45"/>
  <cols>
    <col min="1" max="1" width="13.06640625" bestFit="1" customWidth="1"/>
    <col min="2" max="2" width="12.3984375" bestFit="1" customWidth="1"/>
    <col min="3" max="3" width="12.46484375" bestFit="1" customWidth="1"/>
    <col min="4" max="4" width="10.19921875" bestFit="1" customWidth="1"/>
  </cols>
  <sheetData>
    <row r="1" spans="1:4" x14ac:dyDescent="0.45">
      <c r="A1" t="s">
        <v>0</v>
      </c>
      <c r="B1" t="s">
        <v>1</v>
      </c>
      <c r="C1" t="s">
        <v>2</v>
      </c>
      <c r="D1" t="s">
        <v>3</v>
      </c>
    </row>
    <row r="2" spans="1:4" x14ac:dyDescent="0.45">
      <c r="A2">
        <v>1</v>
      </c>
      <c r="B2">
        <v>66.558599999999998</v>
      </c>
      <c r="C2">
        <v>72</v>
      </c>
      <c r="D2">
        <v>76</v>
      </c>
    </row>
    <row r="3" spans="1:4" x14ac:dyDescent="0.45">
      <c r="A3">
        <v>2</v>
      </c>
      <c r="B3">
        <v>47.0687</v>
      </c>
      <c r="C3">
        <v>66.857100000000003</v>
      </c>
      <c r="D3">
        <v>83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1F18-D657-4EDB-A4E8-B61F1E712842}">
  <dimension ref="A1:AA140"/>
  <sheetViews>
    <sheetView tabSelected="1" topLeftCell="A87" workbookViewId="0">
      <selection activeCell="F102" sqref="F102"/>
    </sheetView>
  </sheetViews>
  <sheetFormatPr defaultRowHeight="14.25" x14ac:dyDescent="0.45"/>
  <cols>
    <col min="1" max="1" width="29.86328125" bestFit="1" customWidth="1"/>
    <col min="2" max="2" width="11.06640625" bestFit="1" customWidth="1"/>
    <col min="7" max="7" width="19" customWidth="1"/>
    <col min="13" max="13" width="21.9296875" bestFit="1" customWidth="1"/>
    <col min="18" max="18" width="23.53125" bestFit="1" customWidth="1"/>
    <col min="23" max="23" width="23.53125" bestFit="1" customWidth="1"/>
  </cols>
  <sheetData>
    <row r="1" spans="1:27" ht="42.75" x14ac:dyDescent="0.45">
      <c r="A1" s="5" t="s">
        <v>7</v>
      </c>
      <c r="G1" s="10" t="s">
        <v>11</v>
      </c>
      <c r="M1" s="5" t="s">
        <v>22</v>
      </c>
      <c r="R1" s="5" t="s">
        <v>22</v>
      </c>
      <c r="W1" s="5" t="s">
        <v>22</v>
      </c>
    </row>
    <row r="2" spans="1:27" x14ac:dyDescent="0.45">
      <c r="A2" t="s">
        <v>25</v>
      </c>
      <c r="B2" t="s">
        <v>8</v>
      </c>
      <c r="C2" t="s">
        <v>4</v>
      </c>
      <c r="D2" t="s">
        <v>5</v>
      </c>
      <c r="E2" t="s">
        <v>6</v>
      </c>
      <c r="G2" s="11" t="s">
        <v>15</v>
      </c>
      <c r="H2" t="s">
        <v>8</v>
      </c>
      <c r="I2" t="s">
        <v>4</v>
      </c>
      <c r="J2" t="s">
        <v>5</v>
      </c>
      <c r="K2" t="s">
        <v>6</v>
      </c>
      <c r="M2" t="s">
        <v>13</v>
      </c>
      <c r="N2" t="s">
        <v>8</v>
      </c>
      <c r="O2" t="s">
        <v>4</v>
      </c>
      <c r="P2" t="s">
        <v>5</v>
      </c>
      <c r="Q2" t="s">
        <v>6</v>
      </c>
      <c r="R2" t="s">
        <v>18</v>
      </c>
      <c r="S2" t="s">
        <v>8</v>
      </c>
      <c r="T2" t="s">
        <v>4</v>
      </c>
      <c r="U2" t="s">
        <v>5</v>
      </c>
      <c r="V2" t="s">
        <v>6</v>
      </c>
      <c r="W2" t="s">
        <v>19</v>
      </c>
      <c r="X2" t="s">
        <v>8</v>
      </c>
      <c r="Y2" t="s">
        <v>4</v>
      </c>
      <c r="Z2" t="s">
        <v>5</v>
      </c>
      <c r="AA2" t="s">
        <v>6</v>
      </c>
    </row>
    <row r="3" spans="1:27" x14ac:dyDescent="0.45">
      <c r="A3" s="9" t="s">
        <v>30</v>
      </c>
      <c r="B3">
        <v>1</v>
      </c>
      <c r="C3" s="1">
        <v>79.621700000000004</v>
      </c>
      <c r="D3" s="1">
        <v>77.333299999999994</v>
      </c>
      <c r="E3" s="2">
        <v>78</v>
      </c>
      <c r="G3" s="11" t="s">
        <v>16</v>
      </c>
      <c r="H3">
        <v>1</v>
      </c>
      <c r="I3" s="1">
        <v>95.035799999999995</v>
      </c>
      <c r="J3" s="1">
        <v>77.200900000000004</v>
      </c>
      <c r="K3" s="2">
        <v>98</v>
      </c>
      <c r="L3" t="s">
        <v>12</v>
      </c>
      <c r="M3" t="s">
        <v>14</v>
      </c>
      <c r="N3" s="8">
        <v>1</v>
      </c>
      <c r="O3" s="1">
        <v>84.987899999999996</v>
      </c>
      <c r="P3" s="1">
        <v>82.285700000000006</v>
      </c>
      <c r="Q3" s="2">
        <v>84</v>
      </c>
      <c r="R3" t="s">
        <v>14</v>
      </c>
      <c r="S3" s="8">
        <v>1</v>
      </c>
      <c r="T3" s="1">
        <v>84.987899999999996</v>
      </c>
      <c r="U3" s="1">
        <v>82.285700000000006</v>
      </c>
      <c r="V3" s="2">
        <v>84</v>
      </c>
      <c r="W3" t="s">
        <v>14</v>
      </c>
      <c r="X3" s="8">
        <v>1</v>
      </c>
      <c r="Y3" s="1">
        <v>76.793599999999998</v>
      </c>
      <c r="Z3" s="1">
        <v>71.794899999999998</v>
      </c>
      <c r="AA3" s="2">
        <v>78</v>
      </c>
    </row>
    <row r="4" spans="1:27" x14ac:dyDescent="0.45">
      <c r="A4" s="9" t="s">
        <v>32</v>
      </c>
      <c r="B4">
        <v>2</v>
      </c>
      <c r="C4" s="3">
        <v>69.674000000000007</v>
      </c>
      <c r="D4" s="3">
        <v>73.466700000000003</v>
      </c>
      <c r="E4" s="4">
        <v>77</v>
      </c>
      <c r="G4" s="11" t="s">
        <v>17</v>
      </c>
      <c r="I4" s="3">
        <v>74.355800000000002</v>
      </c>
      <c r="J4" s="3">
        <v>81.355900000000005</v>
      </c>
      <c r="K4" s="4">
        <v>77</v>
      </c>
      <c r="N4">
        <v>2</v>
      </c>
      <c r="O4" s="3">
        <v>88.760400000000004</v>
      </c>
      <c r="P4" s="3">
        <v>92.571399999999997</v>
      </c>
      <c r="Q4" s="4">
        <v>86</v>
      </c>
      <c r="S4">
        <v>2</v>
      </c>
      <c r="T4" s="3">
        <v>88.760400000000004</v>
      </c>
      <c r="U4" s="3">
        <v>92.571399999999997</v>
      </c>
      <c r="V4" s="4">
        <v>86</v>
      </c>
      <c r="X4">
        <v>2</v>
      </c>
      <c r="Y4" s="3">
        <v>78.614800000000002</v>
      </c>
      <c r="Z4" s="3">
        <v>77.142899999999997</v>
      </c>
      <c r="AA4" s="4">
        <v>83</v>
      </c>
    </row>
    <row r="5" spans="1:27" x14ac:dyDescent="0.45">
      <c r="B5">
        <v>3</v>
      </c>
      <c r="C5" s="1">
        <v>68.504199999999997</v>
      </c>
      <c r="D5" s="1">
        <v>81.2</v>
      </c>
      <c r="E5" s="2">
        <v>81</v>
      </c>
      <c r="I5" s="1">
        <v>77.181899999999999</v>
      </c>
      <c r="J5" s="1">
        <v>72.972999999999999</v>
      </c>
      <c r="K5" s="2">
        <v>80</v>
      </c>
      <c r="N5" s="8">
        <v>3</v>
      </c>
      <c r="O5" s="1">
        <v>87.88</v>
      </c>
      <c r="P5" s="1">
        <v>87.428600000000003</v>
      </c>
      <c r="Q5" s="2">
        <v>87</v>
      </c>
      <c r="S5" s="8">
        <v>3</v>
      </c>
      <c r="T5" s="1">
        <v>87.88</v>
      </c>
      <c r="U5" s="1">
        <v>87.428600000000003</v>
      </c>
      <c r="V5" s="2">
        <v>87</v>
      </c>
      <c r="X5" s="8">
        <v>3</v>
      </c>
      <c r="Y5" s="1">
        <v>83.185400000000001</v>
      </c>
      <c r="Z5" s="1">
        <v>66.857100000000003</v>
      </c>
      <c r="AA5" s="2">
        <v>83</v>
      </c>
    </row>
    <row r="6" spans="1:27" x14ac:dyDescent="0.45">
      <c r="B6">
        <v>4</v>
      </c>
      <c r="C6" s="3">
        <v>84.463899999999995</v>
      </c>
      <c r="D6" s="3">
        <v>73.466700000000003</v>
      </c>
      <c r="E6" s="4">
        <v>84</v>
      </c>
      <c r="H6">
        <v>2</v>
      </c>
      <c r="N6">
        <v>4</v>
      </c>
      <c r="O6" s="3">
        <v>88.9923</v>
      </c>
      <c r="P6" s="3">
        <v>66.857100000000003</v>
      </c>
      <c r="Q6" s="4">
        <v>88</v>
      </c>
      <c r="S6">
        <v>4</v>
      </c>
      <c r="T6" s="3">
        <v>88.9923</v>
      </c>
      <c r="U6" s="3">
        <v>66.857100000000003</v>
      </c>
      <c r="V6" s="4">
        <v>88</v>
      </c>
      <c r="X6">
        <v>4</v>
      </c>
      <c r="Y6">
        <v>81.269099999999995</v>
      </c>
      <c r="Z6">
        <v>66.857100000000003</v>
      </c>
      <c r="AA6">
        <v>81</v>
      </c>
    </row>
    <row r="7" spans="1:27" x14ac:dyDescent="0.45">
      <c r="B7">
        <v>5</v>
      </c>
      <c r="C7" s="1">
        <v>80.012900000000002</v>
      </c>
      <c r="D7" s="1">
        <v>69.599999999999994</v>
      </c>
      <c r="E7" s="2">
        <v>79</v>
      </c>
      <c r="H7">
        <v>5</v>
      </c>
      <c r="N7" s="8">
        <v>5</v>
      </c>
      <c r="O7" s="1">
        <v>83.208299999999994</v>
      </c>
      <c r="P7" s="1">
        <v>72</v>
      </c>
      <c r="Q7" s="2">
        <v>84</v>
      </c>
      <c r="S7" s="8">
        <v>5</v>
      </c>
      <c r="T7" s="1">
        <v>83.208299999999994</v>
      </c>
      <c r="U7" s="1">
        <v>72</v>
      </c>
      <c r="V7" s="2">
        <v>84</v>
      </c>
      <c r="X7" s="8">
        <v>5</v>
      </c>
      <c r="Y7" s="1">
        <v>79.125699999999995</v>
      </c>
      <c r="Z7" s="1">
        <v>102.857</v>
      </c>
      <c r="AA7" s="2">
        <v>78</v>
      </c>
    </row>
    <row r="8" spans="1:27" x14ac:dyDescent="0.45">
      <c r="B8">
        <v>6</v>
      </c>
      <c r="C8" s="3">
        <v>72.1477</v>
      </c>
      <c r="D8" s="3">
        <v>77.333299999999994</v>
      </c>
      <c r="E8" s="4">
        <v>79</v>
      </c>
      <c r="G8">
        <f>30*15</f>
        <v>450</v>
      </c>
      <c r="H8">
        <v>6</v>
      </c>
      <c r="N8">
        <v>6</v>
      </c>
      <c r="O8" s="3">
        <v>87.952100000000002</v>
      </c>
      <c r="P8" s="3">
        <v>82.285700000000006</v>
      </c>
      <c r="Q8" s="4">
        <v>90</v>
      </c>
      <c r="S8">
        <v>6</v>
      </c>
      <c r="T8" s="3">
        <v>87.952100000000002</v>
      </c>
      <c r="U8" s="3">
        <v>82.285700000000006</v>
      </c>
      <c r="V8" s="4">
        <v>90</v>
      </c>
      <c r="X8">
        <v>6</v>
      </c>
      <c r="Y8" s="1">
        <v>82.519800000000004</v>
      </c>
      <c r="Z8" s="1">
        <v>97.714299999999994</v>
      </c>
      <c r="AA8" s="2">
        <v>81</v>
      </c>
    </row>
    <row r="9" spans="1:27" x14ac:dyDescent="0.45">
      <c r="B9">
        <v>7</v>
      </c>
      <c r="C9" s="1">
        <v>75.118600000000001</v>
      </c>
      <c r="D9" s="1">
        <v>73.466700000000003</v>
      </c>
      <c r="E9" s="2">
        <v>75</v>
      </c>
      <c r="G9" s="8">
        <v>30</v>
      </c>
      <c r="H9">
        <v>7</v>
      </c>
      <c r="N9" s="8">
        <v>7</v>
      </c>
      <c r="O9" s="1">
        <v>92.218400000000003</v>
      </c>
      <c r="P9" s="1">
        <v>66.857100000000003</v>
      </c>
      <c r="Q9" s="2">
        <v>88</v>
      </c>
      <c r="S9" s="8">
        <v>7</v>
      </c>
      <c r="T9" s="1">
        <v>92.218400000000003</v>
      </c>
      <c r="U9" s="1">
        <v>66.857100000000003</v>
      </c>
      <c r="V9" s="2">
        <v>88</v>
      </c>
      <c r="X9" s="8">
        <v>7</v>
      </c>
      <c r="Y9" s="3">
        <v>88.517700000000005</v>
      </c>
      <c r="Z9" s="3">
        <v>72</v>
      </c>
      <c r="AA9" s="4">
        <v>86</v>
      </c>
    </row>
    <row r="10" spans="1:27" x14ac:dyDescent="0.45">
      <c r="B10">
        <v>8</v>
      </c>
      <c r="C10" s="3">
        <v>75.733699999999999</v>
      </c>
      <c r="D10" s="3">
        <v>81.2</v>
      </c>
      <c r="E10" s="4">
        <v>76</v>
      </c>
      <c r="G10">
        <f>G9/G8</f>
        <v>6.6666666666666666E-2</v>
      </c>
      <c r="H10">
        <v>8</v>
      </c>
      <c r="N10">
        <v>8</v>
      </c>
      <c r="O10" s="3">
        <v>91.758600000000001</v>
      </c>
      <c r="P10" s="3">
        <v>72</v>
      </c>
      <c r="Q10" s="4">
        <v>90</v>
      </c>
      <c r="S10">
        <v>8</v>
      </c>
      <c r="T10" s="3">
        <v>91.758600000000001</v>
      </c>
      <c r="U10" s="3">
        <v>72</v>
      </c>
      <c r="V10" s="4">
        <v>90</v>
      </c>
      <c r="X10">
        <v>8</v>
      </c>
      <c r="Y10" s="1">
        <v>80.244699999999995</v>
      </c>
      <c r="Z10" s="1">
        <v>72</v>
      </c>
      <c r="AA10" s="2">
        <v>80</v>
      </c>
    </row>
    <row r="11" spans="1:27" x14ac:dyDescent="0.45">
      <c r="B11">
        <v>9</v>
      </c>
      <c r="C11" s="1">
        <v>77.971199999999996</v>
      </c>
      <c r="D11" s="1">
        <v>77.333299999999994</v>
      </c>
      <c r="E11" s="2">
        <v>78</v>
      </c>
      <c r="F11" t="s">
        <v>50</v>
      </c>
      <c r="G11">
        <f>G10*60</f>
        <v>4</v>
      </c>
      <c r="H11">
        <v>9</v>
      </c>
      <c r="N11" s="8">
        <v>9</v>
      </c>
      <c r="O11" s="1">
        <v>89.680099999999996</v>
      </c>
      <c r="P11" s="1">
        <v>123.429</v>
      </c>
      <c r="Q11" s="2">
        <v>86</v>
      </c>
      <c r="S11" s="8">
        <v>9</v>
      </c>
      <c r="T11" s="1">
        <v>89.680099999999996</v>
      </c>
      <c r="U11" s="1">
        <v>123.429</v>
      </c>
      <c r="V11" s="2">
        <v>86</v>
      </c>
      <c r="X11" s="8">
        <v>9</v>
      </c>
      <c r="Y11" s="3">
        <v>82.572500000000005</v>
      </c>
      <c r="Z11" s="3">
        <v>66.857100000000003</v>
      </c>
      <c r="AA11" s="4">
        <v>83</v>
      </c>
    </row>
    <row r="12" spans="1:27" x14ac:dyDescent="0.45">
      <c r="B12">
        <v>10</v>
      </c>
      <c r="C12" s="3">
        <v>74.722800000000007</v>
      </c>
      <c r="D12" s="3">
        <v>69.599999999999994</v>
      </c>
      <c r="E12" s="4">
        <v>78</v>
      </c>
      <c r="H12">
        <v>10</v>
      </c>
      <c r="N12">
        <v>10</v>
      </c>
      <c r="O12" s="3">
        <v>83.631100000000004</v>
      </c>
      <c r="P12" s="3">
        <v>72</v>
      </c>
      <c r="Q12" s="4">
        <v>87</v>
      </c>
      <c r="S12">
        <v>10</v>
      </c>
      <c r="T12" s="3">
        <v>83.631100000000004</v>
      </c>
      <c r="U12" s="3">
        <v>72</v>
      </c>
      <c r="V12" s="4">
        <v>87</v>
      </c>
      <c r="X12">
        <v>10</v>
      </c>
      <c r="Y12" s="1">
        <v>88.228200000000001</v>
      </c>
      <c r="Z12" s="1">
        <v>72</v>
      </c>
      <c r="AA12" s="2">
        <v>89</v>
      </c>
    </row>
    <row r="13" spans="1:27" x14ac:dyDescent="0.45">
      <c r="B13">
        <v>11</v>
      </c>
      <c r="C13" s="1">
        <v>72.605900000000005</v>
      </c>
      <c r="D13" s="1">
        <v>69.599999999999994</v>
      </c>
      <c r="E13" s="2">
        <v>80</v>
      </c>
      <c r="H13">
        <v>11</v>
      </c>
      <c r="O13" s="1"/>
      <c r="P13" s="1"/>
      <c r="Q13" s="2"/>
      <c r="Y13" s="3"/>
      <c r="Z13" s="3"/>
      <c r="AA13" s="4"/>
    </row>
    <row r="14" spans="1:27" x14ac:dyDescent="0.45">
      <c r="B14">
        <v>12</v>
      </c>
      <c r="C14" s="3">
        <v>74.729600000000005</v>
      </c>
      <c r="D14" s="3">
        <v>81.2</v>
      </c>
      <c r="E14" s="4">
        <v>90</v>
      </c>
      <c r="H14">
        <v>12</v>
      </c>
      <c r="O14" s="3"/>
      <c r="P14" s="3"/>
      <c r="Q14" s="4"/>
    </row>
    <row r="15" spans="1:27" ht="28.5" x14ac:dyDescent="0.45">
      <c r="B15">
        <v>13</v>
      </c>
      <c r="C15" s="1">
        <v>78.945300000000003</v>
      </c>
      <c r="D15" s="1">
        <v>82.285700000000006</v>
      </c>
      <c r="E15" s="2">
        <v>78</v>
      </c>
      <c r="H15">
        <v>13</v>
      </c>
      <c r="R15" s="5" t="s">
        <v>22</v>
      </c>
      <c r="W15" s="5" t="s">
        <v>22</v>
      </c>
    </row>
    <row r="16" spans="1:27" x14ac:dyDescent="0.45">
      <c r="B16">
        <v>14</v>
      </c>
      <c r="C16" s="3">
        <v>75.760800000000003</v>
      </c>
      <c r="D16" s="3">
        <v>128.571</v>
      </c>
      <c r="E16" s="4">
        <v>77</v>
      </c>
      <c r="H16">
        <v>14</v>
      </c>
      <c r="R16" t="s">
        <v>20</v>
      </c>
      <c r="S16" t="s">
        <v>8</v>
      </c>
      <c r="T16" t="s">
        <v>4</v>
      </c>
      <c r="U16" t="s">
        <v>5</v>
      </c>
      <c r="V16" t="s">
        <v>6</v>
      </c>
      <c r="W16" t="s">
        <v>21</v>
      </c>
      <c r="X16" t="s">
        <v>8</v>
      </c>
      <c r="Y16" t="s">
        <v>4</v>
      </c>
      <c r="Z16" t="s">
        <v>5</v>
      </c>
      <c r="AA16" t="s">
        <v>6</v>
      </c>
    </row>
    <row r="17" spans="2:27" x14ac:dyDescent="0.45">
      <c r="B17">
        <v>15</v>
      </c>
      <c r="C17" s="1">
        <v>76.447199999999995</v>
      </c>
      <c r="D17" s="1">
        <v>92.571399999999997</v>
      </c>
      <c r="E17" s="2">
        <v>79</v>
      </c>
      <c r="H17">
        <v>15</v>
      </c>
      <c r="R17" t="s">
        <v>14</v>
      </c>
      <c r="S17" s="8">
        <v>1</v>
      </c>
      <c r="T17" s="1">
        <v>81.301000000000002</v>
      </c>
      <c r="U17" s="1">
        <v>82.285700000000006</v>
      </c>
      <c r="V17" s="2">
        <v>79</v>
      </c>
      <c r="X17" s="8">
        <v>1</v>
      </c>
      <c r="Y17" s="1">
        <v>74.735699999999994</v>
      </c>
      <c r="Z17" s="1">
        <v>66.857100000000003</v>
      </c>
      <c r="AA17" s="2">
        <v>76</v>
      </c>
    </row>
    <row r="18" spans="2:27" x14ac:dyDescent="0.45">
      <c r="B18">
        <v>16</v>
      </c>
      <c r="C18" s="3">
        <v>74.371099999999998</v>
      </c>
      <c r="D18" s="3">
        <v>66.666700000000006</v>
      </c>
      <c r="E18" s="4">
        <v>77</v>
      </c>
      <c r="H18">
        <v>16</v>
      </c>
      <c r="S18">
        <v>2</v>
      </c>
      <c r="T18" s="1">
        <v>78.134</v>
      </c>
      <c r="U18" s="1">
        <v>71.590900000000005</v>
      </c>
      <c r="V18" s="2">
        <v>79</v>
      </c>
      <c r="X18">
        <v>2</v>
      </c>
      <c r="Y18" s="3">
        <v>77.040400000000005</v>
      </c>
      <c r="Z18" s="3">
        <v>66.857100000000003</v>
      </c>
      <c r="AA18" s="4">
        <v>78</v>
      </c>
    </row>
    <row r="19" spans="2:27" x14ac:dyDescent="0.45">
      <c r="B19">
        <v>17</v>
      </c>
      <c r="C19" s="1">
        <v>38.407899999999998</v>
      </c>
      <c r="D19" s="1">
        <v>66.857100000000003</v>
      </c>
      <c r="E19" s="2">
        <v>78</v>
      </c>
      <c r="H19">
        <v>17</v>
      </c>
      <c r="S19" s="8">
        <v>3</v>
      </c>
      <c r="T19" s="3">
        <v>81.285200000000003</v>
      </c>
      <c r="U19" s="3">
        <v>66.857100000000003</v>
      </c>
      <c r="V19" s="4">
        <v>81</v>
      </c>
      <c r="X19" s="8">
        <v>3</v>
      </c>
      <c r="Y19" s="1">
        <v>82.580200000000005</v>
      </c>
      <c r="Z19" s="1">
        <v>66.857100000000003</v>
      </c>
      <c r="AA19" s="2">
        <v>82</v>
      </c>
    </row>
    <row r="20" spans="2:27" x14ac:dyDescent="0.45">
      <c r="B20">
        <v>18</v>
      </c>
      <c r="C20" s="3">
        <v>74.180499999999995</v>
      </c>
      <c r="D20" s="3">
        <v>68.763999999999996</v>
      </c>
      <c r="E20" s="4">
        <v>77</v>
      </c>
      <c r="H20">
        <v>18</v>
      </c>
      <c r="S20">
        <v>4</v>
      </c>
      <c r="T20" s="1">
        <v>77.359099999999998</v>
      </c>
      <c r="U20" s="1">
        <v>108</v>
      </c>
      <c r="V20" s="2">
        <v>84</v>
      </c>
      <c r="X20">
        <v>4</v>
      </c>
      <c r="Y20" s="3">
        <v>70.335400000000007</v>
      </c>
      <c r="Z20" s="3">
        <v>82.285700000000006</v>
      </c>
      <c r="AA20" s="4">
        <v>85</v>
      </c>
    </row>
    <row r="21" spans="2:27" x14ac:dyDescent="0.45">
      <c r="B21">
        <v>19</v>
      </c>
      <c r="C21" s="1">
        <v>71.414900000000003</v>
      </c>
      <c r="D21" s="1">
        <v>77.142899999999997</v>
      </c>
      <c r="E21" s="2">
        <v>78</v>
      </c>
      <c r="H21">
        <v>19</v>
      </c>
      <c r="S21" s="8">
        <v>5</v>
      </c>
      <c r="T21" s="3">
        <v>79.737700000000004</v>
      </c>
      <c r="U21" s="3">
        <v>82.285700000000006</v>
      </c>
      <c r="V21" s="4">
        <v>83</v>
      </c>
      <c r="X21" s="8">
        <v>5</v>
      </c>
      <c r="Y21" s="1">
        <v>74.369600000000005</v>
      </c>
      <c r="Z21" s="1">
        <v>77.142899999999997</v>
      </c>
      <c r="AA21" s="2">
        <v>84</v>
      </c>
    </row>
    <row r="22" spans="2:27" x14ac:dyDescent="0.45">
      <c r="B22">
        <v>20</v>
      </c>
      <c r="C22" s="3">
        <v>75.495400000000004</v>
      </c>
      <c r="D22" s="3">
        <v>113.77</v>
      </c>
      <c r="E22" s="4">
        <v>78</v>
      </c>
      <c r="H22">
        <v>20</v>
      </c>
      <c r="S22">
        <v>6</v>
      </c>
      <c r="T22" s="1">
        <v>91.400099999999995</v>
      </c>
      <c r="U22" s="1">
        <v>102.857</v>
      </c>
      <c r="V22" s="2">
        <v>90</v>
      </c>
      <c r="X22">
        <v>6</v>
      </c>
      <c r="Y22" s="3">
        <v>77.983599999999996</v>
      </c>
      <c r="Z22" s="3">
        <v>66.857100000000003</v>
      </c>
      <c r="AA22" s="4">
        <v>82</v>
      </c>
    </row>
    <row r="23" spans="2:27" x14ac:dyDescent="0.45">
      <c r="B23">
        <v>21</v>
      </c>
      <c r="C23" s="1">
        <v>80.069900000000004</v>
      </c>
      <c r="D23" s="1">
        <v>80.536900000000003</v>
      </c>
      <c r="E23" s="2">
        <v>81</v>
      </c>
      <c r="H23">
        <v>21</v>
      </c>
      <c r="S23" s="8">
        <v>7</v>
      </c>
      <c r="T23" s="3">
        <v>72.491500000000002</v>
      </c>
      <c r="U23" s="3">
        <v>77.142899999999997</v>
      </c>
      <c r="V23" s="4">
        <v>78</v>
      </c>
      <c r="X23" s="8">
        <v>7</v>
      </c>
      <c r="Y23" s="1">
        <v>74.751999999999995</v>
      </c>
      <c r="Z23" s="1">
        <v>87.428600000000003</v>
      </c>
      <c r="AA23" s="2">
        <v>83</v>
      </c>
    </row>
    <row r="24" spans="2:27" x14ac:dyDescent="0.45">
      <c r="B24">
        <v>22</v>
      </c>
      <c r="C24" s="3">
        <v>77.592500000000001</v>
      </c>
      <c r="D24" s="3">
        <v>66.857100000000003</v>
      </c>
      <c r="E24" s="4">
        <v>76</v>
      </c>
      <c r="H24">
        <v>22</v>
      </c>
      <c r="S24">
        <v>8</v>
      </c>
      <c r="T24" s="1">
        <v>81.092299999999994</v>
      </c>
      <c r="U24" s="1">
        <v>66.857100000000003</v>
      </c>
      <c r="V24" s="2">
        <v>77</v>
      </c>
      <c r="X24">
        <v>8</v>
      </c>
      <c r="Y24" s="3">
        <v>78.1875</v>
      </c>
      <c r="Z24" s="3">
        <v>70.985900000000001</v>
      </c>
      <c r="AA24" s="4">
        <v>77</v>
      </c>
    </row>
    <row r="25" spans="2:27" x14ac:dyDescent="0.45">
      <c r="B25">
        <v>23</v>
      </c>
      <c r="C25" s="1">
        <v>82.516800000000003</v>
      </c>
      <c r="D25" s="1">
        <v>68.918899999999994</v>
      </c>
      <c r="E25" s="2">
        <v>79</v>
      </c>
      <c r="H25">
        <v>23</v>
      </c>
      <c r="S25" s="8">
        <v>9</v>
      </c>
      <c r="T25" s="3">
        <v>79.839200000000005</v>
      </c>
      <c r="U25" s="3">
        <v>66.4773</v>
      </c>
      <c r="V25" s="4">
        <v>80</v>
      </c>
      <c r="X25" s="8">
        <v>9</v>
      </c>
      <c r="Y25" s="1">
        <v>85.000100000000003</v>
      </c>
      <c r="Z25" s="1">
        <v>71.590900000000005</v>
      </c>
      <c r="AA25" s="2">
        <v>83</v>
      </c>
    </row>
    <row r="26" spans="2:27" x14ac:dyDescent="0.45">
      <c r="B26">
        <v>24</v>
      </c>
      <c r="C26" s="3">
        <v>78.189700000000002</v>
      </c>
      <c r="D26" s="3">
        <v>72</v>
      </c>
      <c r="E26" s="4">
        <v>76</v>
      </c>
      <c r="H26">
        <v>24</v>
      </c>
      <c r="S26">
        <v>10</v>
      </c>
      <c r="T26" s="1">
        <v>80.927000000000007</v>
      </c>
      <c r="U26" s="1">
        <v>66.857100000000003</v>
      </c>
      <c r="V26" s="2">
        <v>79</v>
      </c>
      <c r="X26">
        <v>10</v>
      </c>
      <c r="Y26" s="3">
        <v>78.911000000000001</v>
      </c>
      <c r="Z26" s="3">
        <v>82.285700000000006</v>
      </c>
      <c r="AA26" s="4">
        <v>85</v>
      </c>
    </row>
    <row r="27" spans="2:27" x14ac:dyDescent="0.45">
      <c r="B27">
        <v>25</v>
      </c>
      <c r="C27" s="1">
        <v>81.747600000000006</v>
      </c>
      <c r="D27" s="1">
        <v>77.142899999999997</v>
      </c>
      <c r="E27" s="2">
        <v>80</v>
      </c>
      <c r="H27">
        <v>25</v>
      </c>
    </row>
    <row r="28" spans="2:27" ht="28.5" x14ac:dyDescent="0.45">
      <c r="B28">
        <v>26</v>
      </c>
      <c r="C28" s="1">
        <v>74.3613</v>
      </c>
      <c r="D28" s="1">
        <v>72</v>
      </c>
      <c r="E28" s="2">
        <v>75</v>
      </c>
      <c r="F28" t="s">
        <v>9</v>
      </c>
      <c r="H28">
        <v>26</v>
      </c>
      <c r="R28" s="5" t="s">
        <v>22</v>
      </c>
      <c r="W28" s="5" t="s">
        <v>22</v>
      </c>
    </row>
    <row r="29" spans="2:27" x14ac:dyDescent="0.45">
      <c r="B29">
        <v>27</v>
      </c>
      <c r="C29" s="3">
        <v>55.246899999999997</v>
      </c>
      <c r="D29" s="3">
        <v>82.285700000000006</v>
      </c>
      <c r="E29" s="4">
        <v>82</v>
      </c>
      <c r="H29">
        <v>27</v>
      </c>
      <c r="R29" t="s">
        <v>20</v>
      </c>
      <c r="S29" t="s">
        <v>8</v>
      </c>
      <c r="T29" t="s">
        <v>4</v>
      </c>
      <c r="U29" t="s">
        <v>5</v>
      </c>
      <c r="V29" t="s">
        <v>6</v>
      </c>
      <c r="W29" t="s">
        <v>21</v>
      </c>
      <c r="X29" t="s">
        <v>8</v>
      </c>
      <c r="Y29" t="s">
        <v>4</v>
      </c>
      <c r="Z29" t="s">
        <v>5</v>
      </c>
      <c r="AA29" t="s">
        <v>6</v>
      </c>
    </row>
    <row r="30" spans="2:27" x14ac:dyDescent="0.45">
      <c r="B30">
        <v>28</v>
      </c>
      <c r="C30" s="1">
        <v>74.202399999999997</v>
      </c>
      <c r="D30" s="1">
        <v>72</v>
      </c>
      <c r="E30" s="2">
        <v>78</v>
      </c>
      <c r="H30">
        <v>28</v>
      </c>
      <c r="R30" t="s">
        <v>14</v>
      </c>
      <c r="S30" s="8">
        <v>1</v>
      </c>
      <c r="T30" t="s">
        <v>23</v>
      </c>
      <c r="U30" t="s">
        <v>23</v>
      </c>
      <c r="V30" t="s">
        <v>23</v>
      </c>
      <c r="W30" t="s">
        <v>14</v>
      </c>
      <c r="X30" s="8">
        <v>1</v>
      </c>
      <c r="Y30" t="s">
        <v>23</v>
      </c>
      <c r="Z30" t="s">
        <v>23</v>
      </c>
      <c r="AA30" t="s">
        <v>23</v>
      </c>
    </row>
    <row r="31" spans="2:27" ht="14.25" customHeight="1" x14ac:dyDescent="0.45">
      <c r="B31">
        <v>29</v>
      </c>
      <c r="C31" s="1">
        <v>71.186000000000007</v>
      </c>
      <c r="D31" s="1">
        <v>85.520399999999995</v>
      </c>
      <c r="E31" s="2">
        <v>76</v>
      </c>
      <c r="F31" t="s">
        <v>10</v>
      </c>
      <c r="H31">
        <v>29</v>
      </c>
      <c r="S31">
        <v>2</v>
      </c>
      <c r="T31" s="12" t="s">
        <v>24</v>
      </c>
      <c r="U31" s="12"/>
      <c r="V31" s="12"/>
      <c r="W31" s="12"/>
      <c r="X31">
        <v>2</v>
      </c>
    </row>
    <row r="32" spans="2:27" x14ac:dyDescent="0.45">
      <c r="B32">
        <v>30</v>
      </c>
      <c r="C32" s="3">
        <v>65.147800000000004</v>
      </c>
      <c r="D32" s="3">
        <v>69.0745</v>
      </c>
      <c r="E32" s="4">
        <v>70</v>
      </c>
      <c r="H32">
        <v>30</v>
      </c>
      <c r="S32" s="8">
        <v>3</v>
      </c>
      <c r="T32" s="12"/>
      <c r="U32" s="12"/>
      <c r="V32" s="12"/>
      <c r="W32" s="12"/>
      <c r="X32" s="8">
        <v>3</v>
      </c>
    </row>
    <row r="33" spans="1:24" x14ac:dyDescent="0.45">
      <c r="B33">
        <v>31</v>
      </c>
      <c r="C33" s="1">
        <v>63.418700000000001</v>
      </c>
      <c r="D33" s="1">
        <v>69.230800000000002</v>
      </c>
      <c r="E33" s="2">
        <v>73</v>
      </c>
      <c r="H33">
        <v>31</v>
      </c>
      <c r="S33">
        <v>4</v>
      </c>
      <c r="T33" s="12"/>
      <c r="U33" s="12"/>
      <c r="V33" s="12"/>
      <c r="W33" s="12"/>
      <c r="X33">
        <v>4</v>
      </c>
    </row>
    <row r="34" spans="1:24" x14ac:dyDescent="0.45">
      <c r="B34">
        <v>32</v>
      </c>
      <c r="C34" s="3">
        <v>74.129900000000006</v>
      </c>
      <c r="D34" s="3">
        <v>72</v>
      </c>
      <c r="E34" s="4">
        <v>72</v>
      </c>
      <c r="H34">
        <v>32</v>
      </c>
      <c r="S34" s="8">
        <v>5</v>
      </c>
      <c r="T34" s="12"/>
      <c r="U34" s="12"/>
      <c r="V34" s="12"/>
      <c r="W34" s="12"/>
      <c r="X34" s="8">
        <v>5</v>
      </c>
    </row>
    <row r="35" spans="1:24" x14ac:dyDescent="0.45">
      <c r="S35">
        <v>6</v>
      </c>
      <c r="T35" s="12"/>
      <c r="U35" s="12"/>
      <c r="V35" s="12"/>
      <c r="W35" s="12"/>
      <c r="X35">
        <v>6</v>
      </c>
    </row>
    <row r="36" spans="1:24" x14ac:dyDescent="0.45">
      <c r="A36" s="9" t="s">
        <v>26</v>
      </c>
      <c r="B36" t="s">
        <v>8</v>
      </c>
      <c r="C36" t="s">
        <v>4</v>
      </c>
      <c r="D36" t="s">
        <v>5</v>
      </c>
      <c r="E36" t="s">
        <v>6</v>
      </c>
      <c r="S36" s="8">
        <v>7</v>
      </c>
      <c r="T36" s="12"/>
      <c r="U36" s="12"/>
      <c r="V36" s="12"/>
      <c r="W36" s="12"/>
      <c r="X36" s="8">
        <v>7</v>
      </c>
    </row>
    <row r="37" spans="1:24" x14ac:dyDescent="0.45">
      <c r="A37" s="9" t="s">
        <v>27</v>
      </c>
      <c r="B37">
        <v>1</v>
      </c>
      <c r="C37">
        <v>78.740700000000004</v>
      </c>
      <c r="D37">
        <v>66.857100000000003</v>
      </c>
      <c r="E37">
        <v>78</v>
      </c>
      <c r="S37">
        <v>8</v>
      </c>
      <c r="X37">
        <v>8</v>
      </c>
    </row>
    <row r="38" spans="1:24" x14ac:dyDescent="0.45">
      <c r="A38" s="9" t="s">
        <v>28</v>
      </c>
      <c r="B38">
        <v>2</v>
      </c>
      <c r="C38">
        <v>76.728999999999999</v>
      </c>
      <c r="D38">
        <v>71.794899999999998</v>
      </c>
      <c r="E38">
        <v>76</v>
      </c>
      <c r="S38" s="8">
        <v>9</v>
      </c>
      <c r="X38" s="8">
        <v>9</v>
      </c>
    </row>
    <row r="39" spans="1:24" x14ac:dyDescent="0.45">
      <c r="A39" t="s">
        <v>31</v>
      </c>
      <c r="B39">
        <v>3</v>
      </c>
      <c r="C39">
        <v>79.143500000000003</v>
      </c>
      <c r="D39">
        <v>66.857100000000003</v>
      </c>
      <c r="E39">
        <v>78</v>
      </c>
      <c r="S39">
        <v>10</v>
      </c>
      <c r="X39">
        <v>10</v>
      </c>
    </row>
    <row r="40" spans="1:24" x14ac:dyDescent="0.45">
      <c r="A40" t="s">
        <v>34</v>
      </c>
      <c r="B40">
        <v>4</v>
      </c>
      <c r="C40">
        <v>79.119500000000002</v>
      </c>
      <c r="D40">
        <v>66.4773</v>
      </c>
      <c r="E40">
        <v>80</v>
      </c>
    </row>
    <row r="41" spans="1:24" x14ac:dyDescent="0.45">
      <c r="B41">
        <v>5</v>
      </c>
      <c r="C41">
        <v>78.422700000000006</v>
      </c>
      <c r="D41">
        <v>66.857100000000003</v>
      </c>
      <c r="E41">
        <v>77</v>
      </c>
    </row>
    <row r="42" spans="1:24" x14ac:dyDescent="0.45">
      <c r="B42">
        <v>6</v>
      </c>
      <c r="C42" s="1">
        <v>76.966899999999995</v>
      </c>
      <c r="D42" s="1">
        <v>71.287099999999995</v>
      </c>
      <c r="E42" s="2">
        <v>76</v>
      </c>
    </row>
    <row r="43" spans="1:24" x14ac:dyDescent="0.45">
      <c r="B43">
        <v>7</v>
      </c>
      <c r="C43" s="3">
        <v>77.979399999999998</v>
      </c>
      <c r="D43" s="3">
        <v>135</v>
      </c>
      <c r="E43" s="4">
        <v>78</v>
      </c>
      <c r="G43" s="9" t="s">
        <v>38</v>
      </c>
      <c r="H43" s="13" t="s">
        <v>41</v>
      </c>
      <c r="I43" s="13"/>
      <c r="J43" s="13"/>
      <c r="K43" s="13"/>
    </row>
    <row r="44" spans="1:24" x14ac:dyDescent="0.45">
      <c r="B44">
        <v>8</v>
      </c>
      <c r="C44" s="1">
        <v>81.555800000000005</v>
      </c>
      <c r="D44" s="1">
        <v>126</v>
      </c>
      <c r="E44" s="2">
        <v>78</v>
      </c>
      <c r="G44" s="9" t="s">
        <v>39</v>
      </c>
      <c r="H44" s="13"/>
      <c r="I44" s="13"/>
      <c r="J44" s="13"/>
      <c r="K44" s="13"/>
    </row>
    <row r="45" spans="1:24" x14ac:dyDescent="0.45">
      <c r="B45">
        <v>9</v>
      </c>
      <c r="C45" s="3">
        <v>78.907700000000006</v>
      </c>
      <c r="D45" s="3">
        <v>153</v>
      </c>
      <c r="E45" s="4">
        <v>78</v>
      </c>
      <c r="G45" t="s">
        <v>32</v>
      </c>
      <c r="H45" s="13"/>
      <c r="I45" s="13"/>
      <c r="J45" s="13"/>
      <c r="K45" s="13"/>
    </row>
    <row r="46" spans="1:24" x14ac:dyDescent="0.45">
      <c r="B46">
        <v>10</v>
      </c>
      <c r="C46" s="1">
        <v>81.4696</v>
      </c>
      <c r="D46" s="1">
        <v>135</v>
      </c>
      <c r="E46" s="2">
        <v>79</v>
      </c>
      <c r="G46" t="s">
        <v>34</v>
      </c>
      <c r="H46" s="13"/>
      <c r="I46" s="13"/>
      <c r="J46" s="13"/>
      <c r="K46" s="13"/>
    </row>
    <row r="48" spans="1:24" x14ac:dyDescent="0.45">
      <c r="A48" s="9" t="s">
        <v>29</v>
      </c>
      <c r="B48" t="s">
        <v>8</v>
      </c>
      <c r="C48" t="s">
        <v>4</v>
      </c>
      <c r="D48" t="s">
        <v>5</v>
      </c>
      <c r="E48" t="s">
        <v>6</v>
      </c>
      <c r="G48" s="9" t="s">
        <v>38</v>
      </c>
      <c r="H48" t="s">
        <v>8</v>
      </c>
      <c r="I48" t="s">
        <v>4</v>
      </c>
      <c r="J48" t="s">
        <v>5</v>
      </c>
      <c r="K48" t="s">
        <v>6</v>
      </c>
    </row>
    <row r="49" spans="1:11" x14ac:dyDescent="0.45">
      <c r="A49" s="9" t="s">
        <v>33</v>
      </c>
      <c r="B49">
        <v>1</v>
      </c>
      <c r="C49" s="1">
        <v>72.930099999999996</v>
      </c>
      <c r="D49" s="1">
        <v>72</v>
      </c>
      <c r="E49" s="2">
        <v>77</v>
      </c>
      <c r="G49" s="9" t="s">
        <v>39</v>
      </c>
      <c r="H49">
        <v>1</v>
      </c>
      <c r="I49" s="1">
        <v>84.987899999999996</v>
      </c>
      <c r="J49" s="1">
        <v>82.285700000000006</v>
      </c>
      <c r="K49" s="2">
        <v>84</v>
      </c>
    </row>
    <row r="50" spans="1:11" x14ac:dyDescent="0.45">
      <c r="A50" t="s">
        <v>31</v>
      </c>
      <c r="B50">
        <v>2</v>
      </c>
      <c r="C50" s="3">
        <v>81.257900000000006</v>
      </c>
      <c r="D50" s="3">
        <v>153</v>
      </c>
      <c r="E50" s="4">
        <v>80</v>
      </c>
      <c r="G50" t="s">
        <v>31</v>
      </c>
      <c r="H50">
        <v>2</v>
      </c>
      <c r="I50" s="3">
        <v>88.760400000000004</v>
      </c>
      <c r="J50" s="3">
        <v>92.571399999999997</v>
      </c>
      <c r="K50" s="4">
        <v>86</v>
      </c>
    </row>
    <row r="51" spans="1:11" x14ac:dyDescent="0.45">
      <c r="A51" t="s">
        <v>34</v>
      </c>
      <c r="B51">
        <v>3</v>
      </c>
      <c r="C51" s="1">
        <v>77.822699999999998</v>
      </c>
      <c r="D51" s="1">
        <v>71.641800000000003</v>
      </c>
      <c r="E51" s="2">
        <v>81</v>
      </c>
      <c r="G51" t="s">
        <v>34</v>
      </c>
      <c r="H51">
        <v>3</v>
      </c>
      <c r="I51" s="1">
        <v>87.88</v>
      </c>
      <c r="J51" s="1">
        <v>87.428600000000003</v>
      </c>
      <c r="K51" s="2">
        <v>87</v>
      </c>
    </row>
    <row r="52" spans="1:11" x14ac:dyDescent="0.45">
      <c r="B52">
        <v>4</v>
      </c>
      <c r="C52" s="3">
        <v>86.425600000000003</v>
      </c>
      <c r="D52" s="3">
        <v>81</v>
      </c>
      <c r="E52" s="4">
        <v>83</v>
      </c>
      <c r="H52">
        <v>4</v>
      </c>
      <c r="I52" s="3">
        <v>88.9923</v>
      </c>
      <c r="J52" s="3">
        <v>66.857100000000003</v>
      </c>
      <c r="K52" s="4">
        <v>88</v>
      </c>
    </row>
    <row r="53" spans="1:11" x14ac:dyDescent="0.45">
      <c r="B53">
        <v>5</v>
      </c>
      <c r="C53" s="1">
        <v>82.179100000000005</v>
      </c>
      <c r="D53" s="1">
        <v>90</v>
      </c>
      <c r="E53" s="2">
        <v>82</v>
      </c>
      <c r="H53">
        <v>5</v>
      </c>
      <c r="I53" s="1">
        <v>83.208299999999994</v>
      </c>
      <c r="J53" s="1">
        <v>72</v>
      </c>
      <c r="K53" s="2">
        <v>84</v>
      </c>
    </row>
    <row r="54" spans="1:11" x14ac:dyDescent="0.45">
      <c r="B54">
        <v>6</v>
      </c>
      <c r="C54" s="3">
        <v>82.945099999999996</v>
      </c>
      <c r="D54" s="3">
        <v>71.641800000000003</v>
      </c>
      <c r="E54" s="4">
        <v>81</v>
      </c>
      <c r="H54">
        <v>6</v>
      </c>
      <c r="I54" s="3">
        <v>87.952100000000002</v>
      </c>
      <c r="J54" s="3">
        <v>82.285700000000006</v>
      </c>
      <c r="K54" s="4">
        <v>90</v>
      </c>
    </row>
    <row r="55" spans="1:11" x14ac:dyDescent="0.45">
      <c r="B55">
        <v>7</v>
      </c>
      <c r="C55" s="1">
        <v>71.971800000000002</v>
      </c>
      <c r="D55" s="1">
        <v>81</v>
      </c>
      <c r="E55" s="2">
        <v>79</v>
      </c>
      <c r="H55">
        <v>7</v>
      </c>
      <c r="I55" s="1">
        <v>92.218400000000003</v>
      </c>
      <c r="J55" s="1">
        <v>66.857100000000003</v>
      </c>
      <c r="K55" s="2">
        <v>88</v>
      </c>
    </row>
    <row r="56" spans="1:11" x14ac:dyDescent="0.45">
      <c r="B56">
        <v>8</v>
      </c>
      <c r="C56" s="3">
        <v>98.226699999999994</v>
      </c>
      <c r="D56" s="3">
        <v>81</v>
      </c>
      <c r="E56" s="4">
        <v>80</v>
      </c>
      <c r="H56">
        <v>8</v>
      </c>
      <c r="I56" s="3">
        <v>91.758600000000001</v>
      </c>
      <c r="J56" s="3">
        <v>72</v>
      </c>
      <c r="K56" s="4">
        <v>90</v>
      </c>
    </row>
    <row r="57" spans="1:11" x14ac:dyDescent="0.45">
      <c r="B57">
        <v>9</v>
      </c>
      <c r="C57" s="1">
        <v>78.347399999999993</v>
      </c>
      <c r="D57" s="1">
        <v>153</v>
      </c>
      <c r="E57" s="2">
        <v>79</v>
      </c>
      <c r="H57">
        <v>9</v>
      </c>
      <c r="I57" s="1">
        <v>89.680099999999996</v>
      </c>
      <c r="J57" s="1">
        <v>123.429</v>
      </c>
      <c r="K57" s="2">
        <v>86</v>
      </c>
    </row>
    <row r="58" spans="1:11" x14ac:dyDescent="0.45">
      <c r="B58">
        <v>10</v>
      </c>
      <c r="C58" s="3">
        <v>81.45</v>
      </c>
      <c r="D58" s="3">
        <v>79.802999999999997</v>
      </c>
      <c r="E58" s="4">
        <v>83</v>
      </c>
      <c r="H58">
        <v>10</v>
      </c>
      <c r="I58" s="1">
        <v>68.429400000000001</v>
      </c>
      <c r="J58" s="1">
        <v>72</v>
      </c>
      <c r="K58" s="2">
        <v>69</v>
      </c>
    </row>
    <row r="59" spans="1:11" x14ac:dyDescent="0.45">
      <c r="B59">
        <v>11</v>
      </c>
      <c r="C59" s="1">
        <v>79.201300000000003</v>
      </c>
      <c r="D59" s="1">
        <v>90</v>
      </c>
      <c r="E59" s="2">
        <v>79</v>
      </c>
      <c r="H59">
        <v>11</v>
      </c>
      <c r="I59" s="3">
        <v>75.690200000000004</v>
      </c>
      <c r="J59" s="3">
        <v>72</v>
      </c>
      <c r="K59" s="4">
        <v>74</v>
      </c>
    </row>
    <row r="60" spans="1:11" x14ac:dyDescent="0.45">
      <c r="B60">
        <v>12</v>
      </c>
      <c r="C60" s="1">
        <v>74.668400000000005</v>
      </c>
      <c r="D60" s="1">
        <v>72</v>
      </c>
      <c r="E60" s="2">
        <v>75</v>
      </c>
      <c r="H60">
        <v>12</v>
      </c>
      <c r="I60" s="1">
        <v>78.292599999999993</v>
      </c>
      <c r="J60" s="1">
        <v>72</v>
      </c>
      <c r="K60" s="2">
        <v>81</v>
      </c>
    </row>
    <row r="61" spans="1:11" x14ac:dyDescent="0.45">
      <c r="B61">
        <v>13</v>
      </c>
      <c r="C61" s="3">
        <v>74.898099999999999</v>
      </c>
      <c r="D61" s="3">
        <v>117</v>
      </c>
      <c r="E61" s="4">
        <v>76</v>
      </c>
      <c r="H61">
        <v>13</v>
      </c>
      <c r="I61" s="3">
        <v>76.661100000000005</v>
      </c>
      <c r="J61" s="3">
        <v>72</v>
      </c>
      <c r="K61" s="4">
        <v>74</v>
      </c>
    </row>
    <row r="62" spans="1:11" x14ac:dyDescent="0.45">
      <c r="B62">
        <v>14</v>
      </c>
      <c r="C62" s="1">
        <v>74.797700000000006</v>
      </c>
      <c r="D62" s="1">
        <v>81</v>
      </c>
      <c r="E62" s="2">
        <v>74</v>
      </c>
      <c r="H62">
        <v>14</v>
      </c>
      <c r="I62" s="1">
        <v>77.978499999999997</v>
      </c>
      <c r="J62" s="1">
        <v>99</v>
      </c>
      <c r="K62" s="2">
        <v>78</v>
      </c>
    </row>
    <row r="63" spans="1:11" x14ac:dyDescent="0.45">
      <c r="B63">
        <v>15</v>
      </c>
      <c r="C63" s="3">
        <v>83.206599999999995</v>
      </c>
      <c r="D63" s="3">
        <v>72</v>
      </c>
      <c r="E63" s="4">
        <v>80</v>
      </c>
      <c r="H63">
        <v>15</v>
      </c>
      <c r="I63" s="3">
        <v>79.901200000000003</v>
      </c>
      <c r="J63" s="3">
        <v>72</v>
      </c>
      <c r="K63" s="4">
        <v>77</v>
      </c>
    </row>
    <row r="64" spans="1:11" x14ac:dyDescent="0.45">
      <c r="B64">
        <v>16</v>
      </c>
      <c r="C64" s="1">
        <v>86.160799999999995</v>
      </c>
      <c r="D64" s="1">
        <v>99</v>
      </c>
      <c r="E64" s="2">
        <v>89</v>
      </c>
      <c r="H64">
        <v>16</v>
      </c>
      <c r="I64" s="1">
        <v>78.671499999999995</v>
      </c>
      <c r="J64" s="1">
        <v>72</v>
      </c>
      <c r="K64" s="2">
        <v>77</v>
      </c>
    </row>
    <row r="65" spans="1:11" x14ac:dyDescent="0.45">
      <c r="B65">
        <v>17</v>
      </c>
      <c r="C65" s="3">
        <v>77.825199999999995</v>
      </c>
      <c r="D65" s="3">
        <v>81</v>
      </c>
      <c r="E65" s="4">
        <v>77</v>
      </c>
      <c r="H65">
        <v>17</v>
      </c>
      <c r="I65" s="3">
        <v>81.210800000000006</v>
      </c>
      <c r="J65" s="3">
        <v>72</v>
      </c>
      <c r="K65" s="4">
        <v>80</v>
      </c>
    </row>
    <row r="66" spans="1:11" x14ac:dyDescent="0.45">
      <c r="B66">
        <v>18</v>
      </c>
      <c r="C66" s="1">
        <v>80.177700000000002</v>
      </c>
      <c r="D66" s="1">
        <v>81</v>
      </c>
      <c r="E66" s="2">
        <v>78</v>
      </c>
      <c r="H66">
        <v>18</v>
      </c>
      <c r="I66" s="1">
        <v>81.898600000000002</v>
      </c>
      <c r="J66" s="1">
        <v>90</v>
      </c>
      <c r="K66" s="2">
        <v>81</v>
      </c>
    </row>
    <row r="67" spans="1:11" x14ac:dyDescent="0.45">
      <c r="B67">
        <v>19</v>
      </c>
      <c r="C67" s="3">
        <v>78.916600000000003</v>
      </c>
      <c r="D67" s="3">
        <v>135</v>
      </c>
      <c r="E67" s="4">
        <v>76</v>
      </c>
      <c r="H67">
        <v>19</v>
      </c>
      <c r="I67" s="3">
        <v>76.655199999999994</v>
      </c>
      <c r="J67" s="3">
        <v>90</v>
      </c>
      <c r="K67" s="4">
        <v>77</v>
      </c>
    </row>
    <row r="68" spans="1:11" x14ac:dyDescent="0.45">
      <c r="H68">
        <v>20</v>
      </c>
      <c r="I68" s="1">
        <v>79.574600000000004</v>
      </c>
      <c r="J68" s="1">
        <v>152.239</v>
      </c>
      <c r="K68" s="2">
        <v>78</v>
      </c>
    </row>
    <row r="69" spans="1:11" x14ac:dyDescent="0.45">
      <c r="A69" s="9" t="s">
        <v>29</v>
      </c>
      <c r="B69" t="s">
        <v>8</v>
      </c>
      <c r="C69" t="s">
        <v>4</v>
      </c>
      <c r="D69" t="s">
        <v>5</v>
      </c>
      <c r="E69" t="s">
        <v>6</v>
      </c>
      <c r="H69">
        <v>21</v>
      </c>
      <c r="I69" s="3">
        <v>79.692499999999995</v>
      </c>
      <c r="J69" s="3">
        <v>81</v>
      </c>
      <c r="K69" s="4">
        <v>78</v>
      </c>
    </row>
    <row r="70" spans="1:11" x14ac:dyDescent="0.45">
      <c r="A70" s="9" t="s">
        <v>35</v>
      </c>
      <c r="B70">
        <v>1</v>
      </c>
      <c r="C70" s="1">
        <v>49.329599999999999</v>
      </c>
      <c r="D70" s="1">
        <v>99</v>
      </c>
      <c r="E70" s="2">
        <v>77</v>
      </c>
    </row>
    <row r="71" spans="1:11" x14ac:dyDescent="0.45">
      <c r="A71" t="s">
        <v>31</v>
      </c>
      <c r="B71">
        <v>2</v>
      </c>
      <c r="C71" s="3">
        <v>78.258700000000005</v>
      </c>
      <c r="D71" s="3">
        <v>89.552199999999999</v>
      </c>
      <c r="E71" s="4">
        <v>78</v>
      </c>
      <c r="G71" s="9" t="s">
        <v>38</v>
      </c>
      <c r="H71" t="s">
        <v>8</v>
      </c>
      <c r="I71" t="s">
        <v>4</v>
      </c>
      <c r="J71" t="s">
        <v>5</v>
      </c>
      <c r="K71" t="s">
        <v>6</v>
      </c>
    </row>
    <row r="72" spans="1:11" x14ac:dyDescent="0.45">
      <c r="A72" s="9" t="s">
        <v>34</v>
      </c>
      <c r="B72">
        <v>3</v>
      </c>
      <c r="C72" s="1">
        <v>96.730199999999996</v>
      </c>
      <c r="D72" s="1">
        <v>71.641800000000003</v>
      </c>
      <c r="E72" s="2">
        <v>79</v>
      </c>
      <c r="G72" s="9" t="s">
        <v>39</v>
      </c>
      <c r="H72">
        <v>1</v>
      </c>
      <c r="I72" s="1">
        <v>76.662199999999999</v>
      </c>
      <c r="J72" s="1">
        <v>107.46299999999999</v>
      </c>
      <c r="K72" s="2">
        <v>74</v>
      </c>
    </row>
    <row r="73" spans="1:11" x14ac:dyDescent="0.45">
      <c r="A73" t="s">
        <v>36</v>
      </c>
      <c r="B73">
        <v>4</v>
      </c>
      <c r="C73" s="3">
        <v>79.522199999999998</v>
      </c>
      <c r="D73" s="3">
        <v>81</v>
      </c>
      <c r="E73" s="4">
        <v>78</v>
      </c>
      <c r="G73" t="s">
        <v>40</v>
      </c>
      <c r="H73">
        <v>2</v>
      </c>
      <c r="I73" s="3">
        <v>84.006699999999995</v>
      </c>
      <c r="J73" s="3">
        <v>71.641800000000003</v>
      </c>
      <c r="K73" s="4">
        <v>78</v>
      </c>
    </row>
    <row r="74" spans="1:11" x14ac:dyDescent="0.45">
      <c r="B74">
        <v>5</v>
      </c>
      <c r="C74" s="1">
        <v>71.687899999999999</v>
      </c>
      <c r="D74" s="1">
        <v>90</v>
      </c>
      <c r="E74" s="2">
        <v>80</v>
      </c>
      <c r="G74" t="s">
        <v>34</v>
      </c>
      <c r="H74">
        <v>3</v>
      </c>
      <c r="I74" s="1">
        <v>75.205600000000004</v>
      </c>
      <c r="J74" s="1">
        <v>72</v>
      </c>
      <c r="K74" s="2">
        <v>74</v>
      </c>
    </row>
    <row r="75" spans="1:11" x14ac:dyDescent="0.45">
      <c r="B75">
        <v>6</v>
      </c>
      <c r="C75" s="3">
        <v>68.5809</v>
      </c>
      <c r="D75" s="3">
        <v>70.936000000000007</v>
      </c>
      <c r="E75" s="4">
        <v>79</v>
      </c>
      <c r="H75">
        <v>4</v>
      </c>
      <c r="I75" s="3">
        <v>77.473699999999994</v>
      </c>
      <c r="J75" s="3">
        <v>81</v>
      </c>
      <c r="K75" s="4">
        <v>85</v>
      </c>
    </row>
    <row r="76" spans="1:11" x14ac:dyDescent="0.45">
      <c r="B76">
        <v>7</v>
      </c>
      <c r="C76" s="1">
        <v>79.052300000000002</v>
      </c>
      <c r="D76" s="1">
        <v>71.641800000000003</v>
      </c>
      <c r="E76" s="2">
        <v>81</v>
      </c>
      <c r="H76">
        <v>5</v>
      </c>
      <c r="I76" s="1">
        <v>70.633700000000005</v>
      </c>
      <c r="J76" s="1">
        <v>81</v>
      </c>
      <c r="K76" s="2">
        <v>82</v>
      </c>
    </row>
    <row r="77" spans="1:11" x14ac:dyDescent="0.45">
      <c r="B77">
        <v>8</v>
      </c>
      <c r="C77" s="3">
        <v>64.216999999999999</v>
      </c>
      <c r="D77" s="3">
        <v>72</v>
      </c>
      <c r="E77" s="4">
        <v>79</v>
      </c>
      <c r="H77">
        <v>6</v>
      </c>
      <c r="I77" s="3">
        <v>77.590299999999999</v>
      </c>
      <c r="J77" s="3">
        <v>72</v>
      </c>
      <c r="K77" s="4">
        <v>84</v>
      </c>
    </row>
    <row r="78" spans="1:11" x14ac:dyDescent="0.45">
      <c r="B78">
        <v>9</v>
      </c>
      <c r="C78" s="1">
        <v>98.402699999999996</v>
      </c>
      <c r="D78" s="1">
        <v>79.802999999999997</v>
      </c>
      <c r="E78" s="2">
        <v>80</v>
      </c>
      <c r="H78">
        <v>7</v>
      </c>
      <c r="I78" s="1">
        <v>78.123800000000003</v>
      </c>
      <c r="J78" s="1">
        <v>81</v>
      </c>
      <c r="K78" s="2">
        <v>76</v>
      </c>
    </row>
    <row r="79" spans="1:11" x14ac:dyDescent="0.45">
      <c r="B79">
        <v>10</v>
      </c>
      <c r="C79" s="3">
        <v>65.484099999999998</v>
      </c>
      <c r="D79" s="3">
        <v>72</v>
      </c>
      <c r="E79" s="4">
        <v>79</v>
      </c>
      <c r="H79">
        <v>8</v>
      </c>
      <c r="I79" s="3">
        <v>76.939400000000006</v>
      </c>
      <c r="J79" s="3">
        <v>72</v>
      </c>
      <c r="K79" s="4">
        <v>75</v>
      </c>
    </row>
    <row r="80" spans="1:11" x14ac:dyDescent="0.45">
      <c r="H80">
        <v>9</v>
      </c>
      <c r="I80" s="1">
        <v>65.194900000000004</v>
      </c>
      <c r="J80" s="1">
        <v>126</v>
      </c>
      <c r="K80" s="2">
        <v>77</v>
      </c>
    </row>
    <row r="81" spans="1:11" x14ac:dyDescent="0.45">
      <c r="H81">
        <v>10</v>
      </c>
      <c r="I81" s="3">
        <v>79.5625</v>
      </c>
      <c r="J81" s="3">
        <v>72</v>
      </c>
      <c r="K81" s="4">
        <v>78</v>
      </c>
    </row>
    <row r="82" spans="1:11" x14ac:dyDescent="0.45">
      <c r="A82" s="9" t="s">
        <v>29</v>
      </c>
      <c r="H82">
        <v>11</v>
      </c>
      <c r="I82" s="1">
        <v>83.844399999999993</v>
      </c>
      <c r="J82" s="1">
        <v>126</v>
      </c>
      <c r="K82" s="2">
        <v>83</v>
      </c>
    </row>
    <row r="83" spans="1:11" x14ac:dyDescent="0.45">
      <c r="A83" s="9" t="s">
        <v>37</v>
      </c>
      <c r="B83" t="s">
        <v>8</v>
      </c>
      <c r="C83" t="s">
        <v>4</v>
      </c>
      <c r="D83" t="s">
        <v>5</v>
      </c>
      <c r="E83" t="s">
        <v>6</v>
      </c>
      <c r="H83">
        <v>12</v>
      </c>
      <c r="I83" s="3">
        <v>77.391999999999996</v>
      </c>
      <c r="J83" s="3">
        <v>67.576800000000006</v>
      </c>
      <c r="K83" s="4">
        <v>77</v>
      </c>
    </row>
    <row r="84" spans="1:11" x14ac:dyDescent="0.45">
      <c r="A84" t="s">
        <v>31</v>
      </c>
      <c r="B84" s="6">
        <v>1</v>
      </c>
      <c r="C84" s="1">
        <v>71.496099999999998</v>
      </c>
      <c r="D84" s="1">
        <v>72.483199999999997</v>
      </c>
      <c r="E84" s="2">
        <v>77</v>
      </c>
      <c r="H84">
        <v>13</v>
      </c>
      <c r="I84" s="1">
        <v>72.73</v>
      </c>
      <c r="J84" s="1">
        <v>81</v>
      </c>
      <c r="K84" s="2">
        <v>78</v>
      </c>
    </row>
    <row r="85" spans="1:11" x14ac:dyDescent="0.45">
      <c r="A85" s="9" t="s">
        <v>34</v>
      </c>
      <c r="B85" s="7">
        <v>2</v>
      </c>
      <c r="C85" s="3">
        <v>78.890600000000006</v>
      </c>
      <c r="D85" s="3">
        <v>99</v>
      </c>
      <c r="E85" s="4">
        <v>79</v>
      </c>
      <c r="H85">
        <v>14</v>
      </c>
      <c r="I85" s="3">
        <v>80.580500000000001</v>
      </c>
      <c r="J85" s="3">
        <v>66.914500000000004</v>
      </c>
      <c r="K85" s="4">
        <v>76</v>
      </c>
    </row>
    <row r="86" spans="1:11" x14ac:dyDescent="0.45">
      <c r="A86" t="s">
        <v>36</v>
      </c>
      <c r="B86" s="6">
        <v>3</v>
      </c>
      <c r="C86" s="1">
        <v>52.74</v>
      </c>
      <c r="D86" s="1">
        <v>98.507499999999993</v>
      </c>
      <c r="E86" s="2">
        <v>77</v>
      </c>
      <c r="H86">
        <v>15</v>
      </c>
      <c r="I86" s="1">
        <v>80.705299999999994</v>
      </c>
      <c r="J86" s="1">
        <v>79.2</v>
      </c>
      <c r="K86" s="2">
        <v>80</v>
      </c>
    </row>
    <row r="87" spans="1:11" x14ac:dyDescent="0.45">
      <c r="B87" s="7">
        <v>4</v>
      </c>
      <c r="C87" s="3">
        <v>96.174099999999996</v>
      </c>
      <c r="D87" s="3">
        <v>81</v>
      </c>
      <c r="E87" s="4">
        <v>82</v>
      </c>
      <c r="H87">
        <v>16</v>
      </c>
      <c r="I87" s="1">
        <v>77.852699999999999</v>
      </c>
      <c r="J87" s="1">
        <v>99</v>
      </c>
      <c r="K87" s="2">
        <v>77</v>
      </c>
    </row>
    <row r="88" spans="1:11" x14ac:dyDescent="0.45">
      <c r="B88" s="6">
        <v>5</v>
      </c>
      <c r="C88" s="1">
        <v>51.085700000000003</v>
      </c>
      <c r="D88" s="1">
        <v>99</v>
      </c>
      <c r="E88" s="2">
        <v>84</v>
      </c>
      <c r="H88">
        <v>17</v>
      </c>
      <c r="I88" s="3">
        <v>76.110900000000001</v>
      </c>
      <c r="J88" s="3">
        <v>117</v>
      </c>
      <c r="K88" s="4">
        <v>76</v>
      </c>
    </row>
    <row r="89" spans="1:11" x14ac:dyDescent="0.45">
      <c r="B89">
        <v>6</v>
      </c>
      <c r="C89" s="3">
        <v>69.423000000000002</v>
      </c>
      <c r="D89" s="3">
        <v>70.936000000000007</v>
      </c>
      <c r="E89" s="4">
        <v>76</v>
      </c>
      <c r="H89">
        <v>18</v>
      </c>
      <c r="I89" s="1">
        <v>86.822500000000005</v>
      </c>
      <c r="J89" s="1">
        <v>81</v>
      </c>
      <c r="K89" s="2">
        <v>85</v>
      </c>
    </row>
    <row r="90" spans="1:11" x14ac:dyDescent="0.45">
      <c r="B90">
        <v>7</v>
      </c>
      <c r="C90" s="1">
        <v>79.052300000000002</v>
      </c>
      <c r="D90" s="1">
        <v>71.641800000000003</v>
      </c>
      <c r="E90" s="2">
        <v>85</v>
      </c>
      <c r="H90">
        <v>19</v>
      </c>
      <c r="I90" s="3">
        <v>79.520799999999994</v>
      </c>
      <c r="J90" s="3">
        <v>81</v>
      </c>
      <c r="K90" s="4">
        <v>79</v>
      </c>
    </row>
    <row r="91" spans="1:11" x14ac:dyDescent="0.45">
      <c r="B91">
        <v>8</v>
      </c>
      <c r="C91" s="3">
        <v>66.820999999999998</v>
      </c>
      <c r="D91" s="3">
        <v>72</v>
      </c>
      <c r="E91" s="4">
        <v>79</v>
      </c>
      <c r="H91">
        <v>20</v>
      </c>
      <c r="I91" s="1">
        <v>82.109099999999998</v>
      </c>
      <c r="J91" s="1">
        <v>71.641800000000003</v>
      </c>
      <c r="K91" s="2">
        <v>82</v>
      </c>
    </row>
    <row r="92" spans="1:11" x14ac:dyDescent="0.45">
      <c r="B92">
        <v>9</v>
      </c>
      <c r="C92" s="1">
        <v>73.414100000000005</v>
      </c>
      <c r="D92" s="1">
        <v>79.802999999999997</v>
      </c>
      <c r="E92" s="2">
        <v>80</v>
      </c>
      <c r="I92" s="3"/>
      <c r="J92" s="3"/>
      <c r="K92" s="4"/>
    </row>
    <row r="93" spans="1:11" x14ac:dyDescent="0.45">
      <c r="B93">
        <v>10</v>
      </c>
      <c r="C93" s="3">
        <v>67.430000000000007</v>
      </c>
      <c r="D93" s="3">
        <v>72</v>
      </c>
      <c r="E93" s="4">
        <v>79</v>
      </c>
    </row>
    <row r="95" spans="1:11" x14ac:dyDescent="0.45">
      <c r="A95" s="9" t="s">
        <v>42</v>
      </c>
    </row>
    <row r="96" spans="1:11" x14ac:dyDescent="0.45">
      <c r="A96" s="9" t="s">
        <v>43</v>
      </c>
      <c r="B96" t="s">
        <v>8</v>
      </c>
      <c r="C96" t="s">
        <v>4</v>
      </c>
      <c r="D96" t="s">
        <v>5</v>
      </c>
      <c r="E96" t="s">
        <v>6</v>
      </c>
    </row>
    <row r="97" spans="1:5" x14ac:dyDescent="0.45">
      <c r="A97" t="s">
        <v>44</v>
      </c>
      <c r="B97" s="6">
        <v>1</v>
      </c>
      <c r="C97" s="1">
        <v>85.414599999999993</v>
      </c>
      <c r="D97" s="1">
        <v>80</v>
      </c>
      <c r="E97" s="2">
        <v>86</v>
      </c>
    </row>
    <row r="98" spans="1:5" x14ac:dyDescent="0.45">
      <c r="A98" t="s">
        <v>45</v>
      </c>
      <c r="B98" s="7">
        <v>2</v>
      </c>
      <c r="C98" s="3">
        <v>77.262699999999995</v>
      </c>
      <c r="D98" s="3">
        <v>80</v>
      </c>
      <c r="E98" s="4">
        <v>76</v>
      </c>
    </row>
    <row r="99" spans="1:5" x14ac:dyDescent="0.45">
      <c r="B99" s="6">
        <v>3</v>
      </c>
      <c r="C99" s="1">
        <v>82.382199999999997</v>
      </c>
      <c r="D99" s="1">
        <v>97.714299999999994</v>
      </c>
      <c r="E99" s="2">
        <v>78</v>
      </c>
    </row>
    <row r="100" spans="1:5" x14ac:dyDescent="0.45">
      <c r="B100" s="7">
        <v>4</v>
      </c>
      <c r="C100" s="3">
        <v>81.100800000000007</v>
      </c>
      <c r="D100" s="3">
        <v>92.571399999999997</v>
      </c>
      <c r="E100" s="4">
        <v>82</v>
      </c>
    </row>
    <row r="101" spans="1:5" x14ac:dyDescent="0.45">
      <c r="B101" s="6">
        <v>5</v>
      </c>
      <c r="C101" s="1">
        <v>82.937700000000007</v>
      </c>
      <c r="D101" s="1">
        <v>92.571399999999997</v>
      </c>
      <c r="E101" s="2">
        <v>79</v>
      </c>
    </row>
    <row r="102" spans="1:5" x14ac:dyDescent="0.45">
      <c r="B102" s="7">
        <v>6</v>
      </c>
      <c r="C102" s="3">
        <v>80.698899999999995</v>
      </c>
      <c r="D102" s="3">
        <v>92.571399999999997</v>
      </c>
      <c r="E102" s="4">
        <v>81</v>
      </c>
    </row>
    <row r="103" spans="1:5" x14ac:dyDescent="0.45">
      <c r="B103" s="6">
        <v>7</v>
      </c>
      <c r="C103" s="1">
        <v>72.091099999999997</v>
      </c>
      <c r="D103" s="1">
        <v>71.590900000000005</v>
      </c>
      <c r="E103" s="2">
        <v>76</v>
      </c>
    </row>
    <row r="104" spans="1:5" x14ac:dyDescent="0.45">
      <c r="B104" s="7">
        <v>8</v>
      </c>
      <c r="C104" s="3">
        <v>81.329400000000007</v>
      </c>
      <c r="D104" s="3">
        <v>92.571399999999997</v>
      </c>
      <c r="E104" s="4">
        <v>80</v>
      </c>
    </row>
    <row r="105" spans="1:5" x14ac:dyDescent="0.45">
      <c r="B105" s="6">
        <v>9</v>
      </c>
      <c r="C105" s="1">
        <v>69.674000000000007</v>
      </c>
      <c r="D105" s="1">
        <v>102.857</v>
      </c>
      <c r="E105" s="2">
        <v>76</v>
      </c>
    </row>
    <row r="106" spans="1:5" x14ac:dyDescent="0.45">
      <c r="B106" s="7">
        <v>10</v>
      </c>
      <c r="C106" s="3">
        <v>79.406899999999993</v>
      </c>
      <c r="D106" s="3">
        <v>144</v>
      </c>
      <c r="E106" s="4">
        <v>80</v>
      </c>
    </row>
    <row r="107" spans="1:5" x14ac:dyDescent="0.45">
      <c r="B107" s="6">
        <v>11</v>
      </c>
      <c r="C107" s="1">
        <v>85.633399999999995</v>
      </c>
      <c r="D107" s="1">
        <v>112.821</v>
      </c>
      <c r="E107" s="2">
        <v>84</v>
      </c>
    </row>
    <row r="109" spans="1:5" x14ac:dyDescent="0.45">
      <c r="A109" s="9" t="s">
        <v>42</v>
      </c>
    </row>
    <row r="110" spans="1:5" x14ac:dyDescent="0.45">
      <c r="A110" s="9" t="s">
        <v>43</v>
      </c>
      <c r="B110" t="s">
        <v>8</v>
      </c>
      <c r="C110" t="s">
        <v>4</v>
      </c>
      <c r="D110" t="s">
        <v>5</v>
      </c>
      <c r="E110" t="s">
        <v>6</v>
      </c>
    </row>
    <row r="111" spans="1:5" x14ac:dyDescent="0.45">
      <c r="A111" t="s">
        <v>44</v>
      </c>
      <c r="B111" s="6">
        <v>1</v>
      </c>
      <c r="C111" s="1">
        <v>85.414599999999993</v>
      </c>
      <c r="D111" s="1">
        <v>80</v>
      </c>
      <c r="E111" s="2">
        <v>86</v>
      </c>
    </row>
    <row r="112" spans="1:5" x14ac:dyDescent="0.45">
      <c r="A112" t="s">
        <v>45</v>
      </c>
      <c r="B112" s="7">
        <v>2</v>
      </c>
      <c r="C112" s="3">
        <v>77.262699999999995</v>
      </c>
      <c r="D112" s="3">
        <v>80</v>
      </c>
      <c r="E112" s="4">
        <v>76</v>
      </c>
    </row>
    <row r="113" spans="1:5" x14ac:dyDescent="0.45">
      <c r="B113" s="6">
        <v>3</v>
      </c>
      <c r="C113" s="1">
        <v>82.382199999999997</v>
      </c>
      <c r="D113" s="1">
        <v>97.714299999999994</v>
      </c>
      <c r="E113" s="2">
        <v>78</v>
      </c>
    </row>
    <row r="114" spans="1:5" x14ac:dyDescent="0.45">
      <c r="B114" s="7">
        <v>4</v>
      </c>
      <c r="C114" s="3">
        <v>81.100800000000007</v>
      </c>
      <c r="D114" s="3">
        <v>92.571399999999997</v>
      </c>
      <c r="E114" s="4">
        <v>82</v>
      </c>
    </row>
    <row r="115" spans="1:5" x14ac:dyDescent="0.45">
      <c r="B115" s="6">
        <v>5</v>
      </c>
      <c r="C115" s="1">
        <v>82.937700000000007</v>
      </c>
      <c r="D115" s="1">
        <v>92.571399999999997</v>
      </c>
      <c r="E115" s="2">
        <v>79</v>
      </c>
    </row>
    <row r="116" spans="1:5" x14ac:dyDescent="0.45">
      <c r="B116" s="7">
        <v>6</v>
      </c>
      <c r="C116" s="3">
        <v>80.698899999999995</v>
      </c>
      <c r="D116" s="3">
        <v>92.571399999999997</v>
      </c>
      <c r="E116" s="4">
        <v>81</v>
      </c>
    </row>
    <row r="117" spans="1:5" x14ac:dyDescent="0.45">
      <c r="B117" s="6">
        <v>7</v>
      </c>
      <c r="C117" s="1">
        <v>72.091099999999997</v>
      </c>
      <c r="D117" s="1">
        <v>71.590900000000005</v>
      </c>
      <c r="E117" s="2">
        <v>76</v>
      </c>
    </row>
    <row r="118" spans="1:5" x14ac:dyDescent="0.45">
      <c r="B118" s="7">
        <v>8</v>
      </c>
      <c r="C118" s="3">
        <v>81.329400000000007</v>
      </c>
      <c r="D118" s="3">
        <v>92.571399999999997</v>
      </c>
      <c r="E118" s="4">
        <v>80</v>
      </c>
    </row>
    <row r="119" spans="1:5" x14ac:dyDescent="0.45">
      <c r="B119" s="6">
        <v>9</v>
      </c>
      <c r="C119" s="1">
        <v>69.674000000000007</v>
      </c>
      <c r="D119" s="1">
        <v>102.857</v>
      </c>
      <c r="E119" s="2">
        <v>76</v>
      </c>
    </row>
    <row r="120" spans="1:5" x14ac:dyDescent="0.45">
      <c r="B120" s="7">
        <v>10</v>
      </c>
      <c r="C120" s="3">
        <v>79.406899999999993</v>
      </c>
      <c r="D120" s="3">
        <v>144</v>
      </c>
      <c r="E120" s="4">
        <v>80</v>
      </c>
    </row>
    <row r="121" spans="1:5" x14ac:dyDescent="0.45">
      <c r="B121" s="6">
        <v>11</v>
      </c>
      <c r="C121" s="1">
        <v>85.633399999999995</v>
      </c>
      <c r="D121" s="1">
        <v>112.821</v>
      </c>
      <c r="E121" s="2">
        <v>84</v>
      </c>
    </row>
    <row r="123" spans="1:5" x14ac:dyDescent="0.45">
      <c r="A123" t="s">
        <v>46</v>
      </c>
      <c r="B123" t="s">
        <v>8</v>
      </c>
      <c r="C123" t="s">
        <v>4</v>
      </c>
      <c r="D123" t="s">
        <v>5</v>
      </c>
      <c r="E123" t="s">
        <v>6</v>
      </c>
    </row>
    <row r="124" spans="1:5" x14ac:dyDescent="0.45">
      <c r="A124" t="s">
        <v>47</v>
      </c>
      <c r="B124" s="6">
        <v>1</v>
      </c>
      <c r="C124" s="1">
        <v>85.414599999999993</v>
      </c>
      <c r="D124" s="1">
        <v>80</v>
      </c>
      <c r="E124" s="2">
        <v>86</v>
      </c>
    </row>
    <row r="125" spans="1:5" ht="14.25" customHeight="1" x14ac:dyDescent="0.45">
      <c r="A125" s="14" t="s">
        <v>48</v>
      </c>
      <c r="B125" s="7">
        <v>2</v>
      </c>
      <c r="C125" s="3">
        <v>77.262699999999995</v>
      </c>
      <c r="D125" s="3">
        <v>80</v>
      </c>
      <c r="E125" s="4">
        <v>76</v>
      </c>
    </row>
    <row r="126" spans="1:5" x14ac:dyDescent="0.45">
      <c r="A126" s="14"/>
      <c r="B126" s="6">
        <v>3</v>
      </c>
      <c r="C126" s="1">
        <v>82.382199999999997</v>
      </c>
      <c r="D126" s="1">
        <v>97.714299999999994</v>
      </c>
      <c r="E126" s="2">
        <v>78</v>
      </c>
    </row>
    <row r="127" spans="1:5" x14ac:dyDescent="0.45">
      <c r="A127" s="14"/>
      <c r="B127" s="7">
        <v>4</v>
      </c>
      <c r="C127" s="3">
        <v>81.100800000000007</v>
      </c>
      <c r="D127" s="3">
        <v>92.571399999999997</v>
      </c>
      <c r="E127" s="4">
        <v>82</v>
      </c>
    </row>
    <row r="128" spans="1:5" x14ac:dyDescent="0.45">
      <c r="A128" s="14"/>
      <c r="B128" s="6">
        <v>5</v>
      </c>
      <c r="C128" s="1">
        <v>82.937700000000007</v>
      </c>
      <c r="D128" s="1">
        <v>92.571399999999997</v>
      </c>
      <c r="E128" s="2">
        <v>79</v>
      </c>
    </row>
    <row r="129" spans="1:5" x14ac:dyDescent="0.45">
      <c r="A129" s="14"/>
      <c r="B129" s="7">
        <v>6</v>
      </c>
      <c r="C129" s="3">
        <v>80.698899999999995</v>
      </c>
      <c r="D129" s="3">
        <v>92.571399999999997</v>
      </c>
      <c r="E129" s="4">
        <v>81</v>
      </c>
    </row>
    <row r="130" spans="1:5" x14ac:dyDescent="0.45">
      <c r="A130" s="14"/>
      <c r="B130" s="6">
        <v>7</v>
      </c>
      <c r="C130" s="1">
        <v>72.091099999999997</v>
      </c>
      <c r="D130" s="1">
        <v>71.590900000000005</v>
      </c>
      <c r="E130" s="2">
        <v>76</v>
      </c>
    </row>
    <row r="131" spans="1:5" x14ac:dyDescent="0.45">
      <c r="A131" s="14"/>
      <c r="B131" s="7">
        <v>8</v>
      </c>
      <c r="C131" s="3">
        <v>81.329400000000007</v>
      </c>
      <c r="D131" s="3">
        <v>92.571399999999997</v>
      </c>
      <c r="E131" s="4">
        <v>80</v>
      </c>
    </row>
    <row r="132" spans="1:5" x14ac:dyDescent="0.45">
      <c r="A132" s="14"/>
      <c r="B132" s="6">
        <v>9</v>
      </c>
      <c r="C132" s="1">
        <v>69.674000000000007</v>
      </c>
      <c r="D132" s="1">
        <v>102.857</v>
      </c>
      <c r="E132" s="2">
        <v>76</v>
      </c>
    </row>
    <row r="133" spans="1:5" x14ac:dyDescent="0.45">
      <c r="A133" s="14"/>
      <c r="B133" s="7">
        <v>10</v>
      </c>
      <c r="C133" s="3">
        <v>79.406899999999993</v>
      </c>
      <c r="D133" s="3">
        <v>144</v>
      </c>
      <c r="E133" s="4">
        <v>80</v>
      </c>
    </row>
    <row r="134" spans="1:5" x14ac:dyDescent="0.45">
      <c r="A134" s="14"/>
      <c r="B134" s="6">
        <v>11</v>
      </c>
      <c r="C134" s="1">
        <v>85.633399999999995</v>
      </c>
      <c r="D134" s="1">
        <v>112.821</v>
      </c>
      <c r="E134" s="2">
        <v>84</v>
      </c>
    </row>
    <row r="135" spans="1:5" x14ac:dyDescent="0.45">
      <c r="A135" s="14"/>
    </row>
    <row r="136" spans="1:5" x14ac:dyDescent="0.45">
      <c r="A136" s="14"/>
    </row>
    <row r="137" spans="1:5" x14ac:dyDescent="0.45">
      <c r="A137" s="14"/>
    </row>
    <row r="138" spans="1:5" x14ac:dyDescent="0.45">
      <c r="A138" s="14"/>
    </row>
    <row r="139" spans="1:5" x14ac:dyDescent="0.45">
      <c r="A139" s="14"/>
    </row>
    <row r="140" spans="1:5" x14ac:dyDescent="0.45">
      <c r="A140" s="14"/>
      <c r="B140" s="9" t="s">
        <v>49</v>
      </c>
    </row>
  </sheetData>
  <mergeCells count="3">
    <mergeCell ref="T31:W36"/>
    <mergeCell ref="H43:K46"/>
    <mergeCell ref="A125:A140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116DF6-6359-4251-9696-F42D585138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Li</dc:creator>
  <cp:lastModifiedBy>Jerry Li</cp:lastModifiedBy>
  <dcterms:created xsi:type="dcterms:W3CDTF">2020-10-17T05:23:01Z</dcterms:created>
  <dcterms:modified xsi:type="dcterms:W3CDTF">2020-10-22T00:15:41Z</dcterms:modified>
</cp:coreProperties>
</file>